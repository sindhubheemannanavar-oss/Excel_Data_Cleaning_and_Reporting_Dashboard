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indh\Desktop\projects\"/>
    </mc:Choice>
  </mc:AlternateContent>
  <xr:revisionPtr revIDLastSave="0" documentId="8_{5756D26A-3B75-4DBE-BC97-62E9BE1AE728}" xr6:coauthVersionLast="47" xr6:coauthVersionMax="47" xr10:uidLastSave="{00000000-0000-0000-0000-000000000000}"/>
  <bookViews>
    <workbookView xWindow="-108" yWindow="-108" windowWidth="23256" windowHeight="12456" activeTab="3" xr2:uid="{00000000-000D-0000-FFFF-FFFF00000000}"/>
  </bookViews>
  <sheets>
    <sheet name="productbysales" sheetId="4" r:id="rId1"/>
    <sheet name="regionbysales" sheetId="5" r:id="rId2"/>
    <sheet name="monthbysales" sheetId="9" r:id="rId3"/>
    <sheet name="Dashboartd" sheetId="10" r:id="rId4"/>
    <sheet name="Sales_Data" sheetId="1" r:id="rId5"/>
  </sheets>
  <definedNames>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0" l="1"/>
  <c r="D3" i="10"/>
  <c r="A3" i="10"/>
  <c r="G2" i="1"/>
  <c r="G3" i="1"/>
  <c r="G4" i="1"/>
  <c r="G5" i="1"/>
  <c r="G6" i="1"/>
  <c r="G7" i="1"/>
  <c r="G8" i="1"/>
  <c r="G9" i="1"/>
  <c r="G10" i="1"/>
  <c r="G11" i="1"/>
  <c r="G12" i="1"/>
  <c r="G13" i="1"/>
  <c r="G14" i="1"/>
  <c r="G15" i="1"/>
  <c r="G16" i="1"/>
  <c r="G17" i="1"/>
  <c r="G18" i="1"/>
  <c r="G19" i="1"/>
  <c r="G20" i="1"/>
  <c r="G21" i="1"/>
  <c r="G22" i="1"/>
  <c r="G23" i="1"/>
  <c r="G24" i="1"/>
  <c r="G25" i="1"/>
</calcChain>
</file>

<file path=xl/sharedStrings.xml><?xml version="1.0" encoding="utf-8"?>
<sst xmlns="http://schemas.openxmlformats.org/spreadsheetml/2006/main" count="102" uniqueCount="48">
  <si>
    <t>Order ID</t>
  </si>
  <si>
    <t>Date</t>
  </si>
  <si>
    <t>Region</t>
  </si>
  <si>
    <t>Product</t>
  </si>
  <si>
    <t>Quantity</t>
  </si>
  <si>
    <t>Sales</t>
  </si>
  <si>
    <t>01-01-2025</t>
  </si>
  <si>
    <t>South</t>
  </si>
  <si>
    <t>Laptop</t>
  </si>
  <si>
    <t>02-01-2025</t>
  </si>
  <si>
    <t>North</t>
  </si>
  <si>
    <t>Mouse</t>
  </si>
  <si>
    <t>03-01-2025</t>
  </si>
  <si>
    <t>East</t>
  </si>
  <si>
    <t>Keyboard</t>
  </si>
  <si>
    <t>04-01-2025</t>
  </si>
  <si>
    <t>West</t>
  </si>
  <si>
    <t>Monitor</t>
  </si>
  <si>
    <t>05-01-2025</t>
  </si>
  <si>
    <t>06-01-2025</t>
  </si>
  <si>
    <t>07-01-2025</t>
  </si>
  <si>
    <t>08-01-2025</t>
  </si>
  <si>
    <t>09-01-2025</t>
  </si>
  <si>
    <t>Printer</t>
  </si>
  <si>
    <t>10-01-2025</t>
  </si>
  <si>
    <t>Scanner</t>
  </si>
  <si>
    <t>11-01-2025</t>
  </si>
  <si>
    <t>12-01-2025</t>
  </si>
  <si>
    <t>13-01-2025</t>
  </si>
  <si>
    <t>14-01-2025</t>
  </si>
  <si>
    <t>15-01-2025</t>
  </si>
  <si>
    <t>16-01-2025</t>
  </si>
  <si>
    <t>17-01-2025</t>
  </si>
  <si>
    <t>18-01-2025</t>
  </si>
  <si>
    <t>19-01-2025</t>
  </si>
  <si>
    <t>20-01-2025</t>
  </si>
  <si>
    <t>22-01-2025</t>
  </si>
  <si>
    <t>23-01-2025</t>
  </si>
  <si>
    <t>24-01-2025</t>
  </si>
  <si>
    <t>Month</t>
  </si>
  <si>
    <t>Row Labels</t>
  </si>
  <si>
    <t>Grand Total</t>
  </si>
  <si>
    <t>Sum of Sales</t>
  </si>
  <si>
    <t>Jan</t>
  </si>
  <si>
    <t>Total Sales</t>
  </si>
  <si>
    <t>Total Orders</t>
  </si>
  <si>
    <t>Average Sales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</si>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</sst>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5" x14ac:knownFonts="1">
    <font>
      <sz val="11"/>
      <color theme="1"/>
      <name val="Calibri"/>
      <family val="2"/>
      <scheme val="minor"/>
    </font>
    <font>
      <b/>
      <sz val="18"/>
      <color theme="1"/>
      <name val="Calibri"/>
      <family val="2"/>
      <scheme val="minor"/>
    </font>
    <font>
      <sz val="11"/>
      <color theme="1"/>
      <name val="Calibri"/>
      <family val="2"/>
      <scheme val="minor"/>
    </font>
    <font>
      <b/>
      <sz val="24"/>
      <color theme="1"/>
      <name val="Calibri"/>
      <family val="2"/>
      <scheme val="minor"/>
    </font>
    <font>
      <sz val="24"/>
      <color theme="1"/>
      <name val="Calibri"/>
      <family val="2"/>
      <scheme val="minor"/>
    </font>
  </fonts>
  <fills count="4">
    <fill>
      <patternFill patternType="none"/>
    </fill>
    <fill>
      <patternFill patternType="gray125"/>
    </fill>
    <fill>
      <patternFill patternType="solid">
        <fgColor rgb="FF76E3FF"/>
        <bgColor indexed="64"/>
      </patternFill>
    </fill>
    <fill>
      <patternFill patternType="solid">
        <fgColor rgb="FFA2A2A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3" fontId="2"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vertical="center"/>
    </xf>
    <xf numFmtId="43" fontId="1" fillId="2" borderId="0" xfId="1" applyFont="1" applyFill="1" applyAlignment="1">
      <alignment vertical="center"/>
    </xf>
    <xf numFmtId="1" fontId="1" fillId="2" borderId="0" xfId="1" applyNumberFormat="1" applyFont="1" applyFill="1" applyAlignment="1">
      <alignment vertical="center"/>
    </xf>
    <xf numFmtId="0" fontId="3" fillId="3" borderId="1"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cellXfs>
  <cellStyles count="2">
    <cellStyle name="Comma" xfId="1" builtinId="3"/>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[Data_Cleaning_Dashboard_Project.xlsx]productbysales!PivotTable1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8403324584426"/>
          <c:y val="0.19384040536599587"/>
          <c:w val="0.63105293088363956"/>
          <c:h val="0.6293157626130067"/>
        </c:manualLayout>
      </c:layout>
      <c:barChart>
        <c:barDir val="bar"/>
        <c:grouping val="clustered"/>
        <c:varyColors val="0"/>
        <c:ser>
          <c:idx val="0"/>
          <c:order val="0"/>
          <c:tx>
            <c:strRef>
              <c:f>productbysales!$B$3</c:f>
              <c:strCache>
                <c:ptCount val="1"/>
                <c:pt idx="0">
                  <c:v>Total</c:v>
                </c:pt>
              </c:strCache>
            </c:strRef>
          </c:tx>
          <c:spPr>
            <a:solidFill>
              <a:schemeClr val="accent1"/>
            </a:solidFill>
            <a:ln>
              <a:noFill/>
            </a:ln>
            <a:effectLst/>
          </c:spPr>
          <c:invertIfNegative val="0"/>
          <c:cat>
            <c:strRef>
              <c:f>productbysales!$A$4:$A$10</c:f>
              <c:strCache>
                <c:ptCount val="6"/>
                <c:pt idx="0">
                  <c:v>Keyboard</c:v>
                </c:pt>
                <c:pt idx="1">
                  <c:v>Laptop</c:v>
                </c:pt>
                <c:pt idx="2">
                  <c:v>Monitor</c:v>
                </c:pt>
                <c:pt idx="3">
                  <c:v>Mouse</c:v>
                </c:pt>
                <c:pt idx="4">
                  <c:v>Printer</c:v>
                </c:pt>
                <c:pt idx="5">
                  <c:v>Scanner</c:v>
                </c:pt>
              </c:strCache>
            </c:strRef>
          </c:cat>
          <c:val>
            <c:numRef>
              <c:f>productbysales!$B$4:$B$10</c:f>
              <c:numCache>
                <c:formatCode>General</c:formatCode>
                <c:ptCount val="6"/>
                <c:pt idx="0">
                  <c:v>19200</c:v>
                </c:pt>
                <c:pt idx="1">
                  <c:v>273000</c:v>
                </c:pt>
                <c:pt idx="2">
                  <c:v>53000</c:v>
                </c:pt>
                <c:pt idx="3">
                  <c:v>5500</c:v>
                </c:pt>
                <c:pt idx="4">
                  <c:v>59000</c:v>
                </c:pt>
                <c:pt idx="5">
                  <c:v>24000</c:v>
                </c:pt>
              </c:numCache>
            </c:numRef>
          </c:val>
          <c:extLst>
            <c:ext xmlns:c16="http://schemas.microsoft.com/office/drawing/2014/chart" uri="{C3380CC4-5D6E-409C-BE32-E72D297353CC}">
              <c16:uniqueId val="{00000000-37D2-434E-8CFA-04CBB4CF05B7}"/>
            </c:ext>
          </c:extLst>
        </c:ser>
        <c:dLbls>
          <c:showLegendKey val="0"/>
          <c:showVal val="0"/>
          <c:showCatName val="0"/>
          <c:showSerName val="0"/>
          <c:showPercent val="0"/>
          <c:showBubbleSize val="0"/>
        </c:dLbls>
        <c:gapWidth val="182"/>
        <c:axId val="1376176703"/>
        <c:axId val="1376178623"/>
      </c:barChart>
      <c:catAx>
        <c:axId val="137617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78623"/>
        <c:crosses val="autoZero"/>
        <c:auto val="1"/>
        <c:lblAlgn val="ctr"/>
        <c:lblOffset val="100"/>
        <c:noMultiLvlLbl val="0"/>
      </c:catAx>
      <c:valAx>
        <c:axId val="137617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7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[Data_Cleaning_Dashboard_Project.xlsx]regionbysales!PivotTable2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regionbysales!$B$3</c:f>
              <c:strCache>
                <c:ptCount val="1"/>
                <c:pt idx="0">
                  <c:v>Total</c:v>
                </c:pt>
              </c:strCache>
            </c:strRef>
          </c:tx>
          <c:spPr>
            <a:solidFill>
              <a:schemeClr val="accent1"/>
            </a:solidFill>
            <a:ln>
              <a:noFill/>
            </a:ln>
            <a:effectLst/>
          </c:spPr>
          <c:invertIfNegative val="0"/>
          <c:cat>
            <c:strRef>
              <c:f>regionbysales!$A$4:$A$8</c:f>
              <c:strCache>
                <c:ptCount val="4"/>
                <c:pt idx="0">
                  <c:v>East</c:v>
                </c:pt>
                <c:pt idx="1">
                  <c:v>North</c:v>
                </c:pt>
                <c:pt idx="2">
                  <c:v>South</c:v>
                </c:pt>
                <c:pt idx="3">
                  <c:v>West</c:v>
                </c:pt>
              </c:strCache>
            </c:strRef>
          </c:cat>
          <c:val>
            <c:numRef>
              <c:f>regionbysales!$B$4:$B$8</c:f>
              <c:numCache>
                <c:formatCode>General</c:formatCode>
                <c:ptCount val="4"/>
                <c:pt idx="0">
                  <c:v>96400</c:v>
                </c:pt>
                <c:pt idx="1">
                  <c:v>28800</c:v>
                </c:pt>
                <c:pt idx="2">
                  <c:v>212500</c:v>
                </c:pt>
                <c:pt idx="3">
                  <c:v>96000</c:v>
                </c:pt>
              </c:numCache>
            </c:numRef>
          </c:val>
          <c:extLst>
            <c:ext xmlns:c16="http://schemas.microsoft.com/office/drawing/2014/chart" uri="{C3380CC4-5D6E-409C-BE32-E72D297353CC}">
              <c16:uniqueId val="{00000000-F86D-44E2-92E4-F0E3BBADEF3D}"/>
            </c:ext>
          </c:extLst>
        </c:ser>
        <c:dLbls>
          <c:showLegendKey val="0"/>
          <c:showVal val="0"/>
          <c:showCatName val="0"/>
          <c:showSerName val="0"/>
          <c:showPercent val="0"/>
          <c:showBubbleSize val="0"/>
        </c:dLbls>
        <c:gapWidth val="182"/>
        <c:axId val="1376180063"/>
        <c:axId val="1376199743"/>
      </c:barChart>
      <c:catAx>
        <c:axId val="137618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99743"/>
        <c:crosses val="autoZero"/>
        <c:auto val="1"/>
        <c:lblAlgn val="ctr"/>
        <c:lblOffset val="100"/>
        <c:noMultiLvlLbl val="0"/>
      </c:catAx>
      <c:valAx>
        <c:axId val="137619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8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[Data_Cleaning_Dashboard_Project.xlsx]regionbysales!PivotTable2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regionbysales!$B$3</c:f>
              <c:strCache>
                <c:ptCount val="1"/>
                <c:pt idx="0">
                  <c:v>Total</c:v>
                </c:pt>
              </c:strCache>
            </c:strRef>
          </c:tx>
          <c:spPr>
            <a:solidFill>
              <a:schemeClr val="accent1"/>
            </a:solidFill>
            <a:ln>
              <a:noFill/>
            </a:ln>
            <a:effectLst/>
          </c:spPr>
          <c:invertIfNegative val="0"/>
          <c:cat>
            <c:strRef>
              <c:f>regionbysales!$A$4:$A$8</c:f>
              <c:strCache>
                <c:ptCount val="4"/>
                <c:pt idx="0">
                  <c:v>East</c:v>
                </c:pt>
                <c:pt idx="1">
                  <c:v>North</c:v>
                </c:pt>
                <c:pt idx="2">
                  <c:v>South</c:v>
                </c:pt>
                <c:pt idx="3">
                  <c:v>West</c:v>
                </c:pt>
              </c:strCache>
            </c:strRef>
          </c:cat>
          <c:val>
            <c:numRef>
              <c:f>regionbysales!$B$4:$B$8</c:f>
              <c:numCache>
                <c:formatCode>General</c:formatCode>
                <c:ptCount val="4"/>
                <c:pt idx="0">
                  <c:v>96400</c:v>
                </c:pt>
                <c:pt idx="1">
                  <c:v>28800</c:v>
                </c:pt>
                <c:pt idx="2">
                  <c:v>212500</c:v>
                </c:pt>
                <c:pt idx="3">
                  <c:v>96000</c:v>
                </c:pt>
              </c:numCache>
            </c:numRef>
          </c:val>
          <c:extLst>
            <c:ext xmlns:c16="http://schemas.microsoft.com/office/drawing/2014/chart" uri="{C3380CC4-5D6E-409C-BE32-E72D297353CC}">
              <c16:uniqueId val="{00000000-B0BF-4B45-AC02-0BE750023F04}"/>
            </c:ext>
          </c:extLst>
        </c:ser>
        <c:dLbls>
          <c:showLegendKey val="0"/>
          <c:showVal val="0"/>
          <c:showCatName val="0"/>
          <c:showSerName val="0"/>
          <c:showPercent val="0"/>
          <c:showBubbleSize val="0"/>
        </c:dLbls>
        <c:gapWidth val="182"/>
        <c:axId val="1376180063"/>
        <c:axId val="1376199743"/>
      </c:barChart>
      <c:catAx>
        <c:axId val="137618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99743"/>
        <c:crosses val="autoZero"/>
        <c:auto val="1"/>
        <c:lblAlgn val="ctr"/>
        <c:lblOffset val="100"/>
        <c:noMultiLvlLbl val="0"/>
      </c:catAx>
      <c:valAx>
        <c:axId val="137619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8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[Data_Cleaning_Dashboard_Project.xlsx]productbysales!PivotTable1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506999125109"/>
          <c:y val="0.28643299795858851"/>
          <c:w val="0.63105293088363956"/>
          <c:h val="0.6293157626130067"/>
        </c:manualLayout>
      </c:layout>
      <c:barChart>
        <c:barDir val="bar"/>
        <c:grouping val="clustered"/>
        <c:varyColors val="0"/>
        <c:ser>
          <c:idx val="0"/>
          <c:order val="0"/>
          <c:tx>
            <c:strRef>
              <c:f>productbysales!$B$3</c:f>
              <c:strCache>
                <c:ptCount val="1"/>
                <c:pt idx="0">
                  <c:v>Total</c:v>
                </c:pt>
              </c:strCache>
            </c:strRef>
          </c:tx>
          <c:spPr>
            <a:solidFill>
              <a:schemeClr val="accent1"/>
            </a:solidFill>
            <a:ln>
              <a:noFill/>
            </a:ln>
            <a:effectLst/>
          </c:spPr>
          <c:invertIfNegative val="0"/>
          <c:cat>
            <c:strRef>
              <c:f>productbysales!$A$4:$A$10</c:f>
              <c:strCache>
                <c:ptCount val="6"/>
                <c:pt idx="0">
                  <c:v>Keyboard</c:v>
                </c:pt>
                <c:pt idx="1">
                  <c:v>Laptop</c:v>
                </c:pt>
                <c:pt idx="2">
                  <c:v>Monitor</c:v>
                </c:pt>
                <c:pt idx="3">
                  <c:v>Mouse</c:v>
                </c:pt>
                <c:pt idx="4">
                  <c:v>Printer</c:v>
                </c:pt>
                <c:pt idx="5">
                  <c:v>Scanner</c:v>
                </c:pt>
              </c:strCache>
            </c:strRef>
          </c:cat>
          <c:val>
            <c:numRef>
              <c:f>productbysales!$B$4:$B$10</c:f>
              <c:numCache>
                <c:formatCode>General</c:formatCode>
                <c:ptCount val="6"/>
                <c:pt idx="0">
                  <c:v>19200</c:v>
                </c:pt>
                <c:pt idx="1">
                  <c:v>273000</c:v>
                </c:pt>
                <c:pt idx="2">
                  <c:v>53000</c:v>
                </c:pt>
                <c:pt idx="3">
                  <c:v>5500</c:v>
                </c:pt>
                <c:pt idx="4">
                  <c:v>59000</c:v>
                </c:pt>
                <c:pt idx="5">
                  <c:v>24000</c:v>
                </c:pt>
              </c:numCache>
            </c:numRef>
          </c:val>
          <c:extLst>
            <c:ext xmlns:c16="http://schemas.microsoft.com/office/drawing/2014/chart" uri="{C3380CC4-5D6E-409C-BE32-E72D297353CC}">
              <c16:uniqueId val="{00000000-D442-4AE1-9781-A88E1C75370E}"/>
            </c:ext>
          </c:extLst>
        </c:ser>
        <c:dLbls>
          <c:showLegendKey val="0"/>
          <c:showVal val="0"/>
          <c:showCatName val="0"/>
          <c:showSerName val="0"/>
          <c:showPercent val="0"/>
          <c:showBubbleSize val="0"/>
        </c:dLbls>
        <c:gapWidth val="182"/>
        <c:axId val="1376176703"/>
        <c:axId val="1376178623"/>
      </c:barChart>
      <c:catAx>
        <c:axId val="137617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78623"/>
        <c:crosses val="autoZero"/>
        <c:auto val="1"/>
        <c:lblAlgn val="ctr"/>
        <c:lblOffset val="100"/>
        <c:noMultiLvlLbl val="0"/>
      </c:catAx>
      <c:valAx>
        <c:axId val="137617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17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91440</xdr:colOff>
      <xdr:row>0</xdr:row>
      <xdr:rowOff>179070</xdr:rowOff>
    </xdr:from>
    <xdr:to>
      <xdr:col>11</xdr:col>
      <xdr:colOff>396240</xdr:colOff>
      <xdr:row>15</xdr:row>
      <xdr:rowOff>179070</xdr:rowOff>
    </xdr:to>
    <xdr:graphicFrame macro="">
      <xdr:nvGraphicFramePr>
        <xdr:cNvPr id="2" name="Chart 1">
          <a:extLst>
            <a:ext uri="{FF2B5EF4-FFF2-40B4-BE49-F238E27FC236}">
              <a16:creationId xmlns:a16="http://schemas.microsoft.com/office/drawing/2014/main" id="{53EDCCEA-1D9D-93D5-CFCE-D3889A12E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D066BE4B-1D5D-3AFA-988F-4F7EAB796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30480</xdr:rowOff>
    </xdr:from>
    <xdr:to>
      <xdr:col>4</xdr:col>
      <xdr:colOff>114300</xdr:colOff>
      <xdr:row>16</xdr:row>
      <xdr:rowOff>99060</xdr:rowOff>
    </xdr:to>
    <xdr:graphicFrame macro="">
      <xdr:nvGraphicFramePr>
        <xdr:cNvPr id="2" name="Chart 1">
          <a:extLst>
            <a:ext uri="{FF2B5EF4-FFF2-40B4-BE49-F238E27FC236}">
              <a16:creationId xmlns:a16="http://schemas.microsoft.com/office/drawing/2014/main" id="{1CF5C854-616E-46C1-8E87-90A2ACD52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16</xdr:row>
      <xdr:rowOff>121920</xdr:rowOff>
    </xdr:from>
    <xdr:to>
      <xdr:col>4</xdr:col>
      <xdr:colOff>99060</xdr:colOff>
      <xdr:row>29</xdr:row>
      <xdr:rowOff>152400</xdr:rowOff>
    </xdr:to>
    <xdr:graphicFrame macro="">
      <xdr:nvGraphicFramePr>
        <xdr:cNvPr id="3" name="Chart 2">
          <a:extLst>
            <a:ext uri="{FF2B5EF4-FFF2-40B4-BE49-F238E27FC236}">
              <a16:creationId xmlns:a16="http://schemas.microsoft.com/office/drawing/2014/main" id="{7CE47FD9-A799-4164-AA6A-609B4A7D9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228600</xdr:colOff>
      <xdr:row>3</xdr:row>
      <xdr:rowOff>30480</xdr:rowOff>
    </xdr:from>
    <xdr:to>
      <xdr:col>6</xdr:col>
      <xdr:colOff>891540</xdr:colOff>
      <xdr:row>16</xdr:row>
      <xdr:rowOff>83820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55C4D21-0F04-6E92-4DFF-088BAB3488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23360" y="960120"/>
              <a:ext cx="1882140" cy="2430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243840</xdr:colOff>
      <xdr:row>16</xdr:row>
      <xdr:rowOff>129540</xdr:rowOff>
    </xdr:from>
    <xdr:to>
      <xdr:col>6</xdr:col>
      <xdr:colOff>914400</xdr:colOff>
      <xdr:row>29</xdr:row>
      <xdr:rowOff>114300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463FED38-3686-1961-B6CE-EC08762CA16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38600" y="3436620"/>
              <a:ext cx="1889760" cy="2362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dhu B Bheemannanavar" refreshedDate="46176.912122685186" createdVersion="8" refreshedVersion="8" minRefreshableVersion="3" recordCount="24" xr:uid="{34C60364-DC83-41E9-9934-07B7AEFE6D65}">
  <cacheSource type="worksheet">
    <worksheetSource name="Table1"/>
  </cacheSource>
  <cacheFields count="7">
    <cacheField name="Order ID" numFmtId="0">
      <sharedItems containsSemiMixedTypes="0" containsString="0" containsNumber="1" containsInteger="1" minValue="1001" maxValue="1024" count="24">
        <n v="1001"/>
        <n v="1002"/>
        <n v="1003"/>
        <n v="1004"/>
        <n v="1005"/>
        <n v="1006"/>
        <n v="1007"/>
        <n v="1008"/>
        <n v="1009"/>
        <n v="1010"/>
        <n v="1011"/>
        <n v="1012"/>
        <n v="1013"/>
        <n v="1014"/>
        <n v="1015"/>
        <n v="1016"/>
        <n v="1017"/>
        <n v="1018"/>
        <n v="1019"/>
        <n v="1020"/>
        <n v="1021"/>
        <n v="1022"/>
        <n v="1023"/>
        <n v="1024"/>
      </sharedItems>
    </cacheField>
    <cacheField name="Date" numFmtId="0">
      <sharedItems containsDate="1" containsMixedTypes="1" minDate="2025-01-21T00:00:00" maxDate="2025-01-22T00:00:00" count="24">
        <s v="01-01-2025"/>
        <s v="02-01-2025"/>
        <s v="03-01-2025"/>
        <s v="04-01-2025"/>
        <s v="05-01-2025"/>
        <s v="06-01-2025"/>
        <s v="07-01-2025"/>
        <s v="08-01-2025"/>
        <s v="09-01-2025"/>
        <s v="10-01-2025"/>
        <s v="11-01-2025"/>
        <s v="12-01-2025"/>
        <s v="13-01-2025"/>
        <s v="14-01-2025"/>
        <s v="15-01-2025"/>
        <s v="16-01-2025"/>
        <s v="17-01-2025"/>
        <s v="18-01-2025"/>
        <s v="19-01-2025"/>
        <s v="20-01-2025"/>
        <d v="2025-01-21T00:00:00"/>
        <s v="22-01-2025"/>
        <s v="23-01-2025"/>
        <s v="24-01-2025"/>
      </sharedItems>
    </cacheField>
    <cacheField name="Region" numFmtId="0">
      <sharedItems count="4">
        <s v="South"/>
        <s v="North"/>
        <s v="East"/>
        <s v="West"/>
      </sharedItems>
    </cacheField>
    <cacheField name="Product" numFmtId="0">
      <sharedItems count="6">
        <s v="Laptop"/>
        <s v="Mouse"/>
        <s v="Keyboard"/>
        <s v="Monitor"/>
        <s v="Printer"/>
        <s v="Scanner"/>
      </sharedItems>
    </cacheField>
    <cacheField name="Quantity" numFmtId="0">
      <sharedItems containsSemiMixedTypes="0" containsString="0" containsNumber="1" containsInteger="1" minValue="1" maxValue="5" count="5">
        <n v="1"/>
        <n v="2"/>
        <n v="3"/>
        <n v="4"/>
        <n v="5"/>
      </sharedItems>
    </cacheField>
    <cacheField name="Sales" numFmtId="0">
      <sharedItems containsSemiMixedTypes="0" containsString="0" containsNumber="1" containsInteger="1" minValue="1000" maxValue="47000" count="19">
        <n v="45000"/>
        <n v="1000"/>
        <n v="3600"/>
        <n v="10000"/>
        <n v="2000"/>
        <n v="2400"/>
        <n v="20000"/>
        <n v="15000"/>
        <n v="8000"/>
        <n v="47000"/>
        <n v="6000"/>
        <n v="1500"/>
        <n v="12000"/>
        <n v="30000"/>
        <n v="46000"/>
        <n v="16000"/>
        <n v="4800"/>
        <n v="11000"/>
        <n v="14000"/>
      </sharedItems>
    </cacheField>
    <cacheField name="Month" numFmtId="0">
      <sharedItems count="1">
        <s v="Jan"/>
      </sharedItems>
    </cacheField>
  </cacheFields>
  <extLst>
    <ext xmlns:x14="http://schemas.microsoft.com/office/spreadsheetml/2009/9/main" uri="{725AE2AE-9491-48be-B2B4-4EB974FC3084}">
      <x14:pivotCacheDefinition pivotCacheId="1993830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x v="0"/>
    <x v="0"/>
    <x v="0"/>
    <x v="0"/>
  </r>
  <r>
    <x v="1"/>
    <x v="1"/>
    <x v="1"/>
    <x v="1"/>
    <x v="1"/>
    <x v="1"/>
    <x v="0"/>
  </r>
  <r>
    <x v="2"/>
    <x v="2"/>
    <x v="2"/>
    <x v="2"/>
    <x v="2"/>
    <x v="2"/>
    <x v="0"/>
  </r>
  <r>
    <x v="3"/>
    <x v="3"/>
    <x v="3"/>
    <x v="3"/>
    <x v="0"/>
    <x v="3"/>
    <x v="0"/>
  </r>
  <r>
    <x v="4"/>
    <x v="4"/>
    <x v="0"/>
    <x v="0"/>
    <x v="0"/>
    <x v="0"/>
    <x v="0"/>
  </r>
  <r>
    <x v="5"/>
    <x v="5"/>
    <x v="1"/>
    <x v="1"/>
    <x v="3"/>
    <x v="4"/>
    <x v="0"/>
  </r>
  <r>
    <x v="6"/>
    <x v="6"/>
    <x v="2"/>
    <x v="2"/>
    <x v="1"/>
    <x v="5"/>
    <x v="0"/>
  </r>
  <r>
    <x v="7"/>
    <x v="7"/>
    <x v="3"/>
    <x v="3"/>
    <x v="1"/>
    <x v="6"/>
    <x v="0"/>
  </r>
  <r>
    <x v="8"/>
    <x v="8"/>
    <x v="0"/>
    <x v="4"/>
    <x v="0"/>
    <x v="7"/>
    <x v="0"/>
  </r>
  <r>
    <x v="9"/>
    <x v="9"/>
    <x v="1"/>
    <x v="5"/>
    <x v="0"/>
    <x v="8"/>
    <x v="0"/>
  </r>
  <r>
    <x v="10"/>
    <x v="10"/>
    <x v="2"/>
    <x v="0"/>
    <x v="0"/>
    <x v="9"/>
    <x v="0"/>
  </r>
  <r>
    <x v="11"/>
    <x v="11"/>
    <x v="3"/>
    <x v="2"/>
    <x v="4"/>
    <x v="10"/>
    <x v="0"/>
  </r>
  <r>
    <x v="12"/>
    <x v="12"/>
    <x v="0"/>
    <x v="1"/>
    <x v="2"/>
    <x v="11"/>
    <x v="0"/>
  </r>
  <r>
    <x v="13"/>
    <x v="13"/>
    <x v="1"/>
    <x v="3"/>
    <x v="0"/>
    <x v="12"/>
    <x v="0"/>
  </r>
  <r>
    <x v="14"/>
    <x v="14"/>
    <x v="2"/>
    <x v="4"/>
    <x v="1"/>
    <x v="13"/>
    <x v="0"/>
  </r>
  <r>
    <x v="15"/>
    <x v="15"/>
    <x v="3"/>
    <x v="0"/>
    <x v="0"/>
    <x v="14"/>
    <x v="0"/>
  </r>
  <r>
    <x v="16"/>
    <x v="16"/>
    <x v="0"/>
    <x v="5"/>
    <x v="1"/>
    <x v="15"/>
    <x v="0"/>
  </r>
  <r>
    <x v="17"/>
    <x v="17"/>
    <x v="1"/>
    <x v="2"/>
    <x v="3"/>
    <x v="16"/>
    <x v="0"/>
  </r>
  <r>
    <x v="18"/>
    <x v="18"/>
    <x v="2"/>
    <x v="3"/>
    <x v="0"/>
    <x v="17"/>
    <x v="0"/>
  </r>
  <r>
    <x v="19"/>
    <x v="19"/>
    <x v="3"/>
    <x v="4"/>
    <x v="0"/>
    <x v="18"/>
    <x v="0"/>
  </r>
  <r>
    <x v="20"/>
    <x v="20"/>
    <x v="0"/>
    <x v="0"/>
    <x v="0"/>
    <x v="0"/>
    <x v="0"/>
  </r>
  <r>
    <x v="21"/>
    <x v="21"/>
    <x v="0"/>
    <x v="0"/>
    <x v="0"/>
    <x v="0"/>
    <x v="0"/>
  </r>
  <r>
    <x v="22"/>
    <x v="22"/>
    <x v="2"/>
    <x v="2"/>
    <x v="1"/>
    <x v="5"/>
    <x v="0"/>
  </r>
  <r>
    <x v="23"/>
    <x v="23"/>
    <x v="1"/>
    <x v="1"/>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585CE4-2CF9-4D7F-97AD-1793F09C4F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7">
    <pivotField showAll="0"/>
    <pivotField showAll="0"/>
    <pivotField showAll="0">
      <items count="5">
        <item x="2"/>
        <item x="1"/>
        <item x="0"/>
        <item x="3"/>
        <item t="default"/>
      </items>
    </pivotField>
    <pivotField axis="axisRow" showAll="0">
      <items count="7">
        <item x="2"/>
        <item x="0"/>
        <item x="3"/>
        <item x="1"/>
        <item x="4"/>
        <item x="5"/>
        <item t="default"/>
      </items>
    </pivotField>
    <pivotField showAll="0"/>
    <pivotField dataField="1" showAll="0"/>
    <pivotField showAll="0"/>
  </pivotFields>
  <rowFields count="1">
    <field x="3"/>
  </rowFields>
  <rowItems count="7">
    <i>
      <x/>
    </i>
    <i>
      <x v="1"/>
    </i>
    <i>
      <x v="2"/>
    </i>
    <i>
      <x v="3"/>
    </i>
    <i>
      <x v="4"/>
    </i>
    <i>
      <x v="5"/>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503A70-3F39-4973-97EF-972467E08E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7">
    <pivotField showAll="0"/>
    <pivotField showAll="0"/>
    <pivotField axis="axisRow" showAll="0">
      <items count="5">
        <item x="2"/>
        <item x="1"/>
        <item x="0"/>
        <item x="3"/>
        <item t="default"/>
      </items>
    </pivotField>
    <pivotField showAll="0"/>
    <pivotField showAll="0"/>
    <pivotField dataField="1" showAll="0"/>
    <pivotField showAll="0"/>
  </pivotFields>
  <rowFields count="1">
    <field x="2"/>
  </rowFields>
  <rowItems count="5">
    <i>
      <x/>
    </i>
    <i>
      <x v="1"/>
    </i>
    <i>
      <x v="2"/>
    </i>
    <i>
      <x v="3"/>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E374C6-7344-4FDE-B250-C35C02BCD0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7">
    <pivotField showAll="0"/>
    <pivotField showAll="0"/>
    <pivotField showAll="0"/>
    <pivotField showAll="0"/>
    <pivotField showAll="0"/>
    <pivotField dataField="1" showAll="0"/>
    <pivotField axis="axisRow" showAll="0">
      <items count="2">
        <item x="0"/>
        <item t="default"/>
      </items>
    </pivotField>
  </pivotFields>
  <rowFields count="1">
    <field x="6"/>
  </rowFields>
  <rowItems count="2">
    <i>
      <x/>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56DCB2-1207-4ABE-8473-3254411BC227}" sourceName="Region">
  <pivotTables>
    <pivotTable tabId="4" name="PivotTable1"/>
  </pivotTables>
  <data>
    <tabular pivotCacheId="199383017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98367AC-AE78-407E-B8E8-405D107E02A1}" sourceName="Product">
  <pivotTables>
    <pivotTable tabId="4" name="PivotTable1"/>
  </pivotTables>
  <data>
    <tabular pivotCacheId="1993830178">
      <items count="6">
        <i x="2" s="1"/>
        <i x="0" s="1"/>
        <i x="3" s="1"/>
        <i x="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42FB61C-B032-4A0D-B16C-0277726A3E75}" cache="Slicer_Region" caption="Region" rowHeight="234950"/>
  <slicer name="Product" xr10:uid="{6C2B5717-AB4A-4E91-8D02-A6A15C67E080}"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D0D3D9-4657-4B33-BF6C-70BBF9E80658}" name="Table1" displayName="Table1" ref="A1:G25" totalsRowShown="0">
  <autoFilter ref="A1:G25" xr:uid="{5CD0D3D9-4657-4B33-BF6C-70BBF9E80658}"/>
  <tableColumns count="7">
    <tableColumn id="1" xr3:uid="{A81D213E-08C4-44F1-962A-13150ED2E719}" name="Order ID"/>
    <tableColumn id="2" xr3:uid="{A4929B48-090B-4685-B6F2-D3AF5A682419}" name="Date"/>
    <tableColumn id="3" xr3:uid="{96B2F9A0-70CE-462B-BE29-7AA417A37945}" name="Region"/>
    <tableColumn id="4" xr3:uid="{08045F2A-0B72-4758-9414-33576CAB98B9}" name="Product"/>
    <tableColumn id="5" xr3:uid="{682745E6-58CB-4A20-BA14-8366F9A6132A}" name="Quantity"/>
    <tableColumn id="6" xr3:uid="{0ED50B79-DCD9-40FE-8881-DD968FC25D32}" name="Sales"/>
    <tableColumn id="7" xr3:uid="{68D2B6DA-5014-4510-9049-868813F92CFD}" name="Month" dataDxfId="0">
      <calculatedColumnFormula>TEXT(B2,"mmm")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2CCA-11F5-45DB-BB59-57540DF1DF72}">
  <dimension ref="A3:B10"/>
  <sheetViews>
    <sheetView showWhiteSpace="0" zoomScaleNormal="100" workbookViewId="0">
      <selection activeCell="L23" sqref="L23"/>
    </sheetView>
  </sheetViews>
  <sheetFormatPr defaultRowHeight="14.4" x14ac:dyDescent="0.3"/>
  <cols>
    <col min="1" max="1" width="12.5546875" bestFit="1" customWidth="1"/>
    <col min="2" max="2" width="11.6640625" bestFit="1" customWidth="1"/>
  </cols>
  <sheetData>
    <row r="3" spans="1:2" x14ac:dyDescent="0.3">
      <c r="A3" s="2" t="s">
        <v>40</v>
      </c>
      <c r="B3" t="s">
        <v>42</v>
      </c>
    </row>
    <row r="4" spans="1:2" x14ac:dyDescent="0.3">
      <c r="A4" s="3" t="s">
        <v>14</v>
      </c>
      <c r="B4">
        <v>19200</v>
      </c>
    </row>
    <row r="5" spans="1:2" x14ac:dyDescent="0.3">
      <c r="A5" s="3" t="s">
        <v>8</v>
      </c>
      <c r="B5">
        <v>273000</v>
      </c>
    </row>
    <row r="6" spans="1:2" x14ac:dyDescent="0.3">
      <c r="A6" s="3" t="s">
        <v>17</v>
      </c>
      <c r="B6">
        <v>53000</v>
      </c>
    </row>
    <row r="7" spans="1:2" x14ac:dyDescent="0.3">
      <c r="A7" s="3" t="s">
        <v>11</v>
      </c>
      <c r="B7">
        <v>5500</v>
      </c>
    </row>
    <row r="8" spans="1:2" x14ac:dyDescent="0.3">
      <c r="A8" s="3" t="s">
        <v>23</v>
      </c>
      <c r="B8">
        <v>59000</v>
      </c>
    </row>
    <row r="9" spans="1:2" x14ac:dyDescent="0.3">
      <c r="A9" s="3" t="s">
        <v>25</v>
      </c>
      <c r="B9">
        <v>24000</v>
      </c>
    </row>
    <row r="10" spans="1:2" x14ac:dyDescent="0.3">
      <c r="A10" s="3" t="s">
        <v>41</v>
      </c>
      <c r="B10">
        <v>433700</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2845-3B36-4066-98D9-48EE245BA686}">
  <dimension ref="A3:B8"/>
  <sheetViews>
    <sheetView workbookViewId="0">
      <selection activeCell="C25" sqref="C25"/>
    </sheetView>
  </sheetViews>
  <sheetFormatPr defaultRowHeight="14.4" x14ac:dyDescent="0.3"/>
  <cols>
    <col min="1" max="1" width="12.5546875" bestFit="1" customWidth="1"/>
    <col min="2" max="2" width="11.6640625" bestFit="1" customWidth="1"/>
  </cols>
  <sheetData>
    <row r="3" spans="1:2" x14ac:dyDescent="0.3">
      <c r="A3" s="2" t="s">
        <v>40</v>
      </c>
      <c r="B3" t="s">
        <v>42</v>
      </c>
    </row>
    <row r="4" spans="1:2" x14ac:dyDescent="0.3">
      <c r="A4" s="3" t="s">
        <v>13</v>
      </c>
      <c r="B4">
        <v>96400</v>
      </c>
    </row>
    <row r="5" spans="1:2" x14ac:dyDescent="0.3">
      <c r="A5" s="3" t="s">
        <v>10</v>
      </c>
      <c r="B5">
        <v>28800</v>
      </c>
    </row>
    <row r="6" spans="1:2" x14ac:dyDescent="0.3">
      <c r="A6" s="3" t="s">
        <v>7</v>
      </c>
      <c r="B6">
        <v>212500</v>
      </c>
    </row>
    <row r="7" spans="1:2" x14ac:dyDescent="0.3">
      <c r="A7" s="3" t="s">
        <v>16</v>
      </c>
      <c r="B7">
        <v>96000</v>
      </c>
    </row>
    <row r="8" spans="1:2" x14ac:dyDescent="0.3">
      <c r="A8" s="3" t="s">
        <v>41</v>
      </c>
      <c r="B8">
        <v>433700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0562D-F398-4340-9B01-7C9AF1AA6639}">
  <dimension ref="A3:B5"/>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2" t="s">
        <v>40</v>
      </c>
      <c r="B3" t="s">
        <v>42</v>
      </c>
    </row>
    <row r="4" spans="1:2" x14ac:dyDescent="0.3">
      <c r="A4" s="3" t="s">
        <v>43</v>
      </c>
      <c r="B4">
        <v>433700</v>
      </c>
    </row>
    <row r="5" spans="1:2" x14ac:dyDescent="0.3">
      <c r="A5" s="3" t="s">
        <v>41</v>
      </c>
      <c r="B5">
        <v>433700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52D2F-DB9D-4611-9EB6-4CA532508886}">
  <dimension ref="A1:H3"/>
  <sheetViews>
    <sheetView showGridLines="0" tabSelected="1" zoomScale="102" zoomScaleNormal="102" workbookViewId="0">
      <selection activeCell="H10" sqref="H10"/>
    </sheetView>
  </sheetViews>
  <sheetFormatPr defaultRowHeight="14.4" x14ac:dyDescent="0.3"/>
  <cols>
    <col min="1" max="1" width="18.44140625" customWidth="1"/>
    <col min="4" max="4" width="19.109375" customWidth="1"/>
    <col min="7" max="7" width="20.77734375" customWidth="1"/>
  </cols>
  <sheetData>
    <row r="1" spans="1:8" ht="31.8" thickBot="1" x14ac:dyDescent="0.65">
      <c r="A1" s="7" t="s">
        <v>47</v>
      </c>
      <c r="B1" s="8"/>
      <c r="C1" s="8"/>
      <c r="D1" s="8"/>
      <c r="E1" s="8"/>
      <c r="F1" s="8"/>
      <c r="G1" s="8"/>
      <c r="H1" s="9"/>
    </row>
    <row r="2" spans="1:8" ht="23.4" x14ac:dyDescent="0.3">
      <c r="A2" s="4" t="s">
        <v>44</v>
      </c>
      <c r="D2" s="4" t="s">
        <v>45</v>
      </c>
      <c r="G2" s="4" t="s">
        <v>46</v>
      </c>
    </row>
    <row r="3" spans="1:8" ht="23.4" x14ac:dyDescent="0.3">
      <c r="A3" s="6">
        <f>SUM(Sales_Data!F2:F25)</f>
        <v>433700</v>
      </c>
      <c r="D3" s="4">
        <f>COUNT(Sales_Data!A2:A25)</f>
        <v>24</v>
      </c>
      <c r="G3" s="5">
        <f>AVERAGE(Sales_Data!F2:F25)</f>
        <v>18070.833333333332</v>
      </c>
    </row>
  </sheetData>
  <mergeCells count="1">
    <mergeCell ref="A1:H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workbookViewId="0">
      <selection activeCell="A3" sqref="A3"/>
    </sheetView>
  </sheetViews>
  <sheetFormatPr defaultRowHeight="14.4" x14ac:dyDescent="0.3"/>
  <cols>
    <col min="1" max="1" width="9.88671875" customWidth="1"/>
    <col min="2" max="2" width="10.33203125" bestFit="1" customWidth="1"/>
    <col min="4" max="4" width="9.5546875" customWidth="1"/>
    <col min="5" max="5" width="10.21875" customWidth="1"/>
  </cols>
  <sheetData>
    <row r="1" spans="1:7" x14ac:dyDescent="0.3">
      <c r="A1" t="s">
        <v>0</v>
      </c>
      <c r="B1" t="s">
        <v>1</v>
      </c>
      <c r="C1" t="s">
        <v>2</v>
      </c>
      <c r="D1" t="s">
        <v>3</v>
      </c>
      <c r="E1" t="s">
        <v>4</v>
      </c>
      <c r="F1" t="s">
        <v>5</v>
      </c>
      <c r="G1" t="s">
        <v>39</v>
      </c>
    </row>
    <row r="2" spans="1:7" x14ac:dyDescent="0.3">
      <c r="A2">
        <v>1001</v>
      </c>
      <c r="B2" t="s">
        <v>6</v>
      </c>
      <c r="C2" t="s">
        <v>7</v>
      </c>
      <c r="D2" t="s">
        <v>8</v>
      </c>
      <c r="E2">
        <v>1</v>
      </c>
      <c r="F2">
        <v>45000</v>
      </c>
      <c r="G2" t="str">
        <f t="shared" ref="G2:G25" si="0">TEXT(B2,"mmm")</f>
        <v>Jan</v>
      </c>
    </row>
    <row r="3" spans="1:7" x14ac:dyDescent="0.3">
      <c r="A3">
        <v>1002</v>
      </c>
      <c r="B3" t="s">
        <v>9</v>
      </c>
      <c r="C3" t="s">
        <v>10</v>
      </c>
      <c r="D3" t="s">
        <v>11</v>
      </c>
      <c r="E3">
        <v>2</v>
      </c>
      <c r="F3">
        <v>1000</v>
      </c>
      <c r="G3" t="str">
        <f t="shared" si="0"/>
        <v>Jan</v>
      </c>
    </row>
    <row r="4" spans="1:7" x14ac:dyDescent="0.3">
      <c r="A4">
        <v>1003</v>
      </c>
      <c r="B4" t="s">
        <v>12</v>
      </c>
      <c r="C4" t="s">
        <v>13</v>
      </c>
      <c r="D4" t="s">
        <v>14</v>
      </c>
      <c r="E4">
        <v>3</v>
      </c>
      <c r="F4">
        <v>3600</v>
      </c>
      <c r="G4" t="str">
        <f t="shared" si="0"/>
        <v>Jan</v>
      </c>
    </row>
    <row r="5" spans="1:7" x14ac:dyDescent="0.3">
      <c r="A5">
        <v>1004</v>
      </c>
      <c r="B5" t="s">
        <v>15</v>
      </c>
      <c r="C5" t="s">
        <v>16</v>
      </c>
      <c r="D5" t="s">
        <v>17</v>
      </c>
      <c r="E5">
        <v>1</v>
      </c>
      <c r="F5">
        <v>10000</v>
      </c>
      <c r="G5" t="str">
        <f t="shared" si="0"/>
        <v>Jan</v>
      </c>
    </row>
    <row r="6" spans="1:7" x14ac:dyDescent="0.3">
      <c r="A6">
        <v>1005</v>
      </c>
      <c r="B6" t="s">
        <v>18</v>
      </c>
      <c r="C6" t="s">
        <v>7</v>
      </c>
      <c r="D6" t="s">
        <v>8</v>
      </c>
      <c r="E6">
        <v>1</v>
      </c>
      <c r="F6">
        <v>45000</v>
      </c>
      <c r="G6" t="str">
        <f t="shared" si="0"/>
        <v>Jan</v>
      </c>
    </row>
    <row r="7" spans="1:7" x14ac:dyDescent="0.3">
      <c r="A7">
        <v>1006</v>
      </c>
      <c r="B7" t="s">
        <v>19</v>
      </c>
      <c r="C7" t="s">
        <v>10</v>
      </c>
      <c r="D7" t="s">
        <v>11</v>
      </c>
      <c r="E7">
        <v>4</v>
      </c>
      <c r="F7">
        <v>2000</v>
      </c>
      <c r="G7" t="str">
        <f t="shared" si="0"/>
        <v>Jan</v>
      </c>
    </row>
    <row r="8" spans="1:7" x14ac:dyDescent="0.3">
      <c r="A8">
        <v>1007</v>
      </c>
      <c r="B8" t="s">
        <v>20</v>
      </c>
      <c r="C8" t="s">
        <v>13</v>
      </c>
      <c r="D8" t="s">
        <v>14</v>
      </c>
      <c r="E8">
        <v>2</v>
      </c>
      <c r="F8">
        <v>2400</v>
      </c>
      <c r="G8" t="str">
        <f t="shared" si="0"/>
        <v>Jan</v>
      </c>
    </row>
    <row r="9" spans="1:7" x14ac:dyDescent="0.3">
      <c r="A9">
        <v>1008</v>
      </c>
      <c r="B9" t="s">
        <v>21</v>
      </c>
      <c r="C9" t="s">
        <v>16</v>
      </c>
      <c r="D9" t="s">
        <v>17</v>
      </c>
      <c r="E9">
        <v>2</v>
      </c>
      <c r="F9">
        <v>20000</v>
      </c>
      <c r="G9" t="str">
        <f t="shared" si="0"/>
        <v>Jan</v>
      </c>
    </row>
    <row r="10" spans="1:7" x14ac:dyDescent="0.3">
      <c r="A10">
        <v>1009</v>
      </c>
      <c r="B10" t="s">
        <v>22</v>
      </c>
      <c r="C10" t="s">
        <v>7</v>
      </c>
      <c r="D10" t="s">
        <v>23</v>
      </c>
      <c r="E10">
        <v>1</v>
      </c>
      <c r="F10">
        <v>15000</v>
      </c>
      <c r="G10" t="str">
        <f t="shared" si="0"/>
        <v>Jan</v>
      </c>
    </row>
    <row r="11" spans="1:7" x14ac:dyDescent="0.3">
      <c r="A11">
        <v>1010</v>
      </c>
      <c r="B11" t="s">
        <v>24</v>
      </c>
      <c r="C11" t="s">
        <v>10</v>
      </c>
      <c r="D11" t="s">
        <v>25</v>
      </c>
      <c r="E11">
        <v>1</v>
      </c>
      <c r="F11">
        <v>8000</v>
      </c>
      <c r="G11" t="str">
        <f t="shared" si="0"/>
        <v>Jan</v>
      </c>
    </row>
    <row r="12" spans="1:7" x14ac:dyDescent="0.3">
      <c r="A12">
        <v>1011</v>
      </c>
      <c r="B12" t="s">
        <v>26</v>
      </c>
      <c r="C12" t="s">
        <v>13</v>
      </c>
      <c r="D12" t="s">
        <v>8</v>
      </c>
      <c r="E12">
        <v>1</v>
      </c>
      <c r="F12">
        <v>47000</v>
      </c>
      <c r="G12" t="str">
        <f t="shared" si="0"/>
        <v>Jan</v>
      </c>
    </row>
    <row r="13" spans="1:7" x14ac:dyDescent="0.3">
      <c r="A13">
        <v>1012</v>
      </c>
      <c r="B13" t="s">
        <v>27</v>
      </c>
      <c r="C13" t="s">
        <v>16</v>
      </c>
      <c r="D13" t="s">
        <v>14</v>
      </c>
      <c r="E13">
        <v>5</v>
      </c>
      <c r="F13">
        <v>6000</v>
      </c>
      <c r="G13" t="str">
        <f t="shared" si="0"/>
        <v>Jan</v>
      </c>
    </row>
    <row r="14" spans="1:7" x14ac:dyDescent="0.3">
      <c r="A14">
        <v>1013</v>
      </c>
      <c r="B14" t="s">
        <v>28</v>
      </c>
      <c r="C14" t="s">
        <v>7</v>
      </c>
      <c r="D14" t="s">
        <v>11</v>
      </c>
      <c r="E14">
        <v>3</v>
      </c>
      <c r="F14">
        <v>1500</v>
      </c>
      <c r="G14" t="str">
        <f t="shared" si="0"/>
        <v>Jan</v>
      </c>
    </row>
    <row r="15" spans="1:7" x14ac:dyDescent="0.3">
      <c r="A15">
        <v>1014</v>
      </c>
      <c r="B15" t="s">
        <v>29</v>
      </c>
      <c r="C15" t="s">
        <v>10</v>
      </c>
      <c r="D15" t="s">
        <v>17</v>
      </c>
      <c r="E15">
        <v>1</v>
      </c>
      <c r="F15">
        <v>12000</v>
      </c>
      <c r="G15" t="str">
        <f t="shared" si="0"/>
        <v>Jan</v>
      </c>
    </row>
    <row r="16" spans="1:7" x14ac:dyDescent="0.3">
      <c r="A16">
        <v>1015</v>
      </c>
      <c r="B16" t="s">
        <v>30</v>
      </c>
      <c r="C16" t="s">
        <v>13</v>
      </c>
      <c r="D16" t="s">
        <v>23</v>
      </c>
      <c r="E16">
        <v>2</v>
      </c>
      <c r="F16">
        <v>30000</v>
      </c>
      <c r="G16" t="str">
        <f t="shared" si="0"/>
        <v>Jan</v>
      </c>
    </row>
    <row r="17" spans="1:7" x14ac:dyDescent="0.3">
      <c r="A17">
        <v>1016</v>
      </c>
      <c r="B17" t="s">
        <v>31</v>
      </c>
      <c r="C17" t="s">
        <v>16</v>
      </c>
      <c r="D17" t="s">
        <v>8</v>
      </c>
      <c r="E17">
        <v>1</v>
      </c>
      <c r="F17">
        <v>46000</v>
      </c>
      <c r="G17" t="str">
        <f t="shared" si="0"/>
        <v>Jan</v>
      </c>
    </row>
    <row r="18" spans="1:7" x14ac:dyDescent="0.3">
      <c r="A18">
        <v>1017</v>
      </c>
      <c r="B18" t="s">
        <v>32</v>
      </c>
      <c r="C18" t="s">
        <v>7</v>
      </c>
      <c r="D18" t="s">
        <v>25</v>
      </c>
      <c r="E18">
        <v>2</v>
      </c>
      <c r="F18">
        <v>16000</v>
      </c>
      <c r="G18" t="str">
        <f t="shared" si="0"/>
        <v>Jan</v>
      </c>
    </row>
    <row r="19" spans="1:7" x14ac:dyDescent="0.3">
      <c r="A19">
        <v>1018</v>
      </c>
      <c r="B19" t="s">
        <v>33</v>
      </c>
      <c r="C19" t="s">
        <v>10</v>
      </c>
      <c r="D19" t="s">
        <v>14</v>
      </c>
      <c r="E19">
        <v>4</v>
      </c>
      <c r="F19">
        <v>4800</v>
      </c>
      <c r="G19" t="str">
        <f t="shared" si="0"/>
        <v>Jan</v>
      </c>
    </row>
    <row r="20" spans="1:7" x14ac:dyDescent="0.3">
      <c r="A20">
        <v>1019</v>
      </c>
      <c r="B20" t="s">
        <v>34</v>
      </c>
      <c r="C20" t="s">
        <v>13</v>
      </c>
      <c r="D20" t="s">
        <v>17</v>
      </c>
      <c r="E20">
        <v>1</v>
      </c>
      <c r="F20">
        <v>11000</v>
      </c>
      <c r="G20" t="str">
        <f t="shared" si="0"/>
        <v>Jan</v>
      </c>
    </row>
    <row r="21" spans="1:7" x14ac:dyDescent="0.3">
      <c r="A21">
        <v>1020</v>
      </c>
      <c r="B21" t="s">
        <v>35</v>
      </c>
      <c r="C21" t="s">
        <v>16</v>
      </c>
      <c r="D21" t="s">
        <v>23</v>
      </c>
      <c r="E21">
        <v>1</v>
      </c>
      <c r="F21">
        <v>14000</v>
      </c>
      <c r="G21" t="str">
        <f t="shared" si="0"/>
        <v>Jan</v>
      </c>
    </row>
    <row r="22" spans="1:7" x14ac:dyDescent="0.3">
      <c r="A22">
        <v>1021</v>
      </c>
      <c r="B22" s="1">
        <v>45678</v>
      </c>
      <c r="C22" t="s">
        <v>7</v>
      </c>
      <c r="D22" t="s">
        <v>8</v>
      </c>
      <c r="E22">
        <v>1</v>
      </c>
      <c r="F22">
        <v>45000</v>
      </c>
      <c r="G22" t="str">
        <f t="shared" si="0"/>
        <v>Jan</v>
      </c>
    </row>
    <row r="23" spans="1:7" x14ac:dyDescent="0.3">
      <c r="A23">
        <v>1022</v>
      </c>
      <c r="B23" t="s">
        <v>36</v>
      </c>
      <c r="C23" t="s">
        <v>7</v>
      </c>
      <c r="D23" t="s">
        <v>8</v>
      </c>
      <c r="E23">
        <v>1</v>
      </c>
      <c r="F23">
        <v>45000</v>
      </c>
      <c r="G23" t="str">
        <f t="shared" si="0"/>
        <v>Jan</v>
      </c>
    </row>
    <row r="24" spans="1:7" x14ac:dyDescent="0.3">
      <c r="A24">
        <v>1023</v>
      </c>
      <c r="B24" t="s">
        <v>37</v>
      </c>
      <c r="C24" t="s">
        <v>13</v>
      </c>
      <c r="D24" t="s">
        <v>14</v>
      </c>
      <c r="E24">
        <v>2</v>
      </c>
      <c r="F24">
        <v>2400</v>
      </c>
      <c r="G24" t="str">
        <f t="shared" si="0"/>
        <v>Jan</v>
      </c>
    </row>
    <row r="25" spans="1:7" x14ac:dyDescent="0.3">
      <c r="A25">
        <v>1024</v>
      </c>
      <c r="B25" t="s">
        <v>38</v>
      </c>
      <c r="C25" t="s">
        <v>10</v>
      </c>
      <c r="D25" t="s">
        <v>11</v>
      </c>
      <c r="E25">
        <v>2</v>
      </c>
      <c r="F25">
        <v>1000</v>
      </c>
      <c r="G25" t="str">
        <f t="shared" si="0"/>
        <v>Jan</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productbysales</vt:lpstr>
      <vt:lpstr>regionbysales</vt:lpstr>
      <vt:lpstr>monthbysales</vt:lpstr>
      <vt:lpstr>Dashboartd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Sindhu B Bheemannanavar</cp:lastModifiedBy>
  <dcterms:created xsi:type="dcterms:W3CDTF">2026-06-03T15:19:01Z</dcterms:created>
  <dcterms:modified xsi:type="dcterms:W3CDTF">2026-06-04T05:51:46Z</dcterms:modified>
</cp:coreProperties>
</file>